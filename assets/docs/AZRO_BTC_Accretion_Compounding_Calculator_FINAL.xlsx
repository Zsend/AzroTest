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0x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</font>
    <font>
      <name val="Calibri"/>
      <b val="1"/>
      <color rgb="000B1220"/>
    </font>
    <font>
      <name val="Calibri"/>
      <color rgb="00111827"/>
    </font>
    <font>
      <name val="Calibri"/>
      <b val="1"/>
      <color rgb="00111827"/>
    </font>
    <font>
      <name val="Calibri"/>
      <color rgb="006B7280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" fontId="5" fillId="0" borderId="1" pivotButton="0" quotePrefix="0" xfId="0"/>
    <xf numFmtId="165" fontId="5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166" fontId="5" fillId="0" borderId="1" pivotButton="0" quotePrefix="0" xfId="0"/>
    <xf numFmtId="3" fontId="5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AZRO BTC Accretion Compounding Calculator (BTC‑Standard)</t>
        </is>
      </c>
    </row>
    <row r="2" ht="36" customHeight="1">
      <c r="A2" s="2" t="inlineStr">
        <is>
          <t>This is a mechanical compounding calculator (not a forecast). Enter an assumed BTC edge vs auto‑buy and a baseline BTC outcome; the sheet computes the implied BTC multiple and extra sats.</t>
        </is>
      </c>
    </row>
    <row r="4" ht="20" customHeight="1">
      <c r="A4" s="3" t="inlineStr">
        <is>
          <t>Inputs</t>
        </is>
      </c>
    </row>
    <row r="5">
      <c r="A5" s="4" t="inlineStr">
        <is>
          <t>Baseline BTC outcome (auto‑buy DCA) after N years</t>
        </is>
      </c>
      <c r="B5" s="5" t="n">
        <v>1</v>
      </c>
      <c r="C5" s="6" t="inlineStr">
        <is>
          <t>(Example: if your DCA would end with 1.00 BTC)</t>
        </is>
      </c>
    </row>
    <row r="6">
      <c r="A6" s="4" t="inlineStr">
        <is>
          <t>Years (N)</t>
        </is>
      </c>
      <c r="B6" s="7" t="n">
        <v>15</v>
      </c>
      <c r="C6" s="6" t="inlineStr">
        <is>
          <t>(Set N to 10/15/20 for quick scenarios)</t>
        </is>
      </c>
    </row>
    <row r="7">
      <c r="A7" s="4" t="inlineStr">
        <is>
          <t>Assumed annual BTC edge vs auto‑buy</t>
        </is>
      </c>
      <c r="B7" s="8" t="n">
        <v>0.042</v>
      </c>
      <c r="C7" s="6" t="inlineStr">
        <is>
          <t>(Example: 4.2%/yr corresponds to the case‑study smooth mode)</t>
        </is>
      </c>
    </row>
    <row r="8"/>
    <row r="9">
      <c r="A9" s="9" t="inlineStr">
        <is>
          <t>Outputs</t>
        </is>
      </c>
    </row>
    <row r="10">
      <c r="A10" s="4" t="inlineStr">
        <is>
          <t>BTC multiple vs auto‑buy</t>
        </is>
      </c>
      <c r="B10" s="10">
        <f>(1+$B$7)^$B$6</f>
        <v/>
      </c>
    </row>
    <row r="11">
      <c r="A11" s="4" t="inlineStr">
        <is>
          <t>Implied BTC (baseline × multiple)</t>
        </is>
      </c>
      <c r="B11" s="5">
        <f>$B$5*$B$10</f>
        <v/>
      </c>
    </row>
    <row r="12">
      <c r="A12" s="4" t="inlineStr">
        <is>
          <t>Extra BTC</t>
        </is>
      </c>
      <c r="B12" s="5">
        <f>$B$11-$B$5</f>
        <v/>
      </c>
    </row>
    <row r="13">
      <c r="A13" s="4" t="inlineStr">
        <is>
          <t>Extra sats</t>
        </is>
      </c>
      <c r="B13" s="11">
        <f>$B$12*100000000</f>
        <v/>
      </c>
    </row>
    <row r="14"/>
    <row r="15">
      <c r="A15" s="9" t="inlineStr">
        <is>
          <t>Mode Presets (edit as needed)</t>
        </is>
      </c>
    </row>
    <row r="16" ht="26" customHeight="1">
      <c r="A16" s="12" t="inlineStr">
        <is>
          <t>Mode</t>
        </is>
      </c>
      <c r="B16" s="12" t="inlineStr">
        <is>
          <t>Assumed BTC edge</t>
        </is>
      </c>
      <c r="C16" s="12" t="inlineStr">
        <is>
          <t>10y multiple</t>
        </is>
      </c>
      <c r="D16" s="12" t="inlineStr">
        <is>
          <t>15y multiple</t>
        </is>
      </c>
      <c r="E16" s="12" t="inlineStr">
        <is>
          <t>20y multiple</t>
        </is>
      </c>
    </row>
    <row r="17">
      <c r="A17" s="13" t="inlineStr">
        <is>
          <t>Accumulate‑only (illustrative)</t>
        </is>
      </c>
      <c r="B17" s="14" t="n">
        <v>0.014</v>
      </c>
      <c r="C17" s="15">
        <f>(1+$B17)^10</f>
        <v/>
      </c>
      <c r="D17" s="15">
        <f>(1+$B17)^15</f>
        <v/>
      </c>
      <c r="E17" s="15">
        <f>(1+$B17)^20</f>
        <v/>
      </c>
    </row>
    <row r="18">
      <c r="A18" s="13" t="inlineStr">
        <is>
          <t>Liquidity Valve (signals, illustrative)</t>
        </is>
      </c>
      <c r="B18" s="14" t="n">
        <v>0.029</v>
      </c>
      <c r="C18" s="15">
        <f>(1+$B18)^10</f>
        <v/>
      </c>
      <c r="D18" s="15">
        <f>(1+$B18)^15</f>
        <v/>
      </c>
      <c r="E18" s="15">
        <f>(1+$B18)^20</f>
        <v/>
      </c>
    </row>
    <row r="19">
      <c r="A19" s="13" t="inlineStr">
        <is>
          <t>Liquidity Valve (smooth, illustrative)</t>
        </is>
      </c>
      <c r="B19" s="14" t="n">
        <v>0.042</v>
      </c>
      <c r="C19" s="15">
        <f>(1+$B19)^10</f>
        <v/>
      </c>
      <c r="D19" s="15">
        <f>(1+$B19)^15</f>
        <v/>
      </c>
      <c r="E19" s="15">
        <f>(1+$B19)^20</f>
        <v/>
      </c>
    </row>
    <row r="20"/>
    <row r="21">
      <c r="A21" s="16" t="inlineStr">
        <is>
          <t>Note: Preset edges are based on one historical case study. They are provided for intuition only and are not guarantees.</t>
        </is>
      </c>
    </row>
  </sheetData>
  <mergeCells count="9">
    <mergeCell ref="A21:E21"/>
    <mergeCell ref="A4:E4"/>
    <mergeCell ref="C5:E5"/>
    <mergeCell ref="A2:E2"/>
    <mergeCell ref="A15:E15"/>
    <mergeCell ref="A1:E1"/>
    <mergeCell ref="C7:E7"/>
    <mergeCell ref="A9:E9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2026-02-16T00:52:00Z</dcterms:created>
  <dcterms:modified xmlns:dcterms="http://purl.org/dc/terms/" xmlns:xsi="http://www.w3.org/2001/XMLSchema-instance" xsi:type="dcterms:W3CDTF">2026-02-16T00:52:00Z</dcterms:modified>
</cp:coreProperties>
</file>