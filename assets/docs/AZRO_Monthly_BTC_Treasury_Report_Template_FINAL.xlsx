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color rgb="006B7280"/>
      <sz val="9"/>
    </font>
    <font>
      <name val="Arial"/>
      <b val="1"/>
      <sz val="12"/>
    </font>
    <font>
      <name val="Arial"/>
      <b val="1"/>
      <sz val="10"/>
    </font>
    <font>
      <name val="Arial"/>
      <sz val="10"/>
    </font>
    <font>
      <name val="Arial"/>
      <color rgb="00374151"/>
      <sz val="9"/>
    </font>
    <font>
      <name val="Calibri"/>
      <b val="1"/>
      <color rgb="00FFFFFF"/>
      <sz val="16"/>
    </font>
    <font>
      <name val="Calibri"/>
      <color rgb="00FFFFFF"/>
      <sz val="11"/>
    </font>
    <font>
      <name val="Calibri"/>
      <b val="1"/>
      <color rgb="000B1220"/>
      <sz val="12"/>
    </font>
  </fonts>
  <fills count="5">
    <fill>
      <patternFill/>
    </fill>
    <fill>
      <patternFill patternType="gray125"/>
    </fill>
    <fill>
      <patternFill patternType="solid">
        <fgColor rgb="00F3F4F6"/>
      </patternFill>
    </fill>
    <fill>
      <patternFill patternType="solid">
        <fgColor rgb="00111827"/>
      </patternFill>
    </fill>
    <fill>
      <patternFill patternType="solid">
        <fgColor rgb="000B1220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8" fillId="4" borderId="0" applyAlignment="1" pivotButton="0" quotePrefix="0" xfId="0">
      <alignment horizontal="left" vertical="center" wrapText="1"/>
    </xf>
    <xf numFmtId="0" fontId="8" fillId="4" borderId="0" pivotButton="0" quotePrefix="0" xfId="0"/>
    <xf numFmtId="0" fontId="9" fillId="2" borderId="0" applyAlignment="1" pivotButton="0" quotePrefix="0" xfId="0">
      <alignment horizontal="left" vertical="center"/>
    </xf>
    <xf numFmtId="0" fontId="9" fillId="2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9" t="inlineStr">
        <is>
          <t>AZRO Monthly BTC Treasury Report</t>
        </is>
      </c>
      <c r="B1" s="10" t="n"/>
      <c r="C1" s="10" t="n"/>
      <c r="D1" s="10" t="n"/>
    </row>
    <row r="2" ht="22" customHeight="1">
      <c r="A2" s="11" t="inlineStr">
        <is>
          <t>(Template) Fill in inputs below. Core KPIs are BTC‑standard; USD fields are for operational budgeting.</t>
        </is>
      </c>
      <c r="B2" s="12" t="n"/>
      <c r="C2" s="12" t="n"/>
      <c r="D2" s="12" t="n"/>
    </row>
    <row r="4">
      <c r="A4" s="13" t="inlineStr">
        <is>
          <t>Report Inputs</t>
        </is>
      </c>
      <c r="B4" s="14" t="n"/>
      <c r="C4" s="14" t="n"/>
      <c r="D4" s="14" t="n"/>
    </row>
    <row r="5">
      <c r="A5" s="4" t="inlineStr">
        <is>
          <t>Company name</t>
        </is>
      </c>
      <c r="B5" s="5" t="inlineStr"/>
      <c r="C5" s="15" t="n"/>
      <c r="D5" s="15" t="n"/>
      <c r="E5" s="15" t="n"/>
      <c r="F5" s="15" t="n"/>
      <c r="G5" s="15" t="n"/>
      <c r="H5" s="16" t="n"/>
    </row>
    <row r="6">
      <c r="A6" s="4" t="inlineStr">
        <is>
          <t>Report month (YYYY-MM)</t>
        </is>
      </c>
      <c r="B6" s="5" t="inlineStr"/>
      <c r="C6" s="15" t="n"/>
      <c r="D6" s="15" t="n"/>
      <c r="E6" s="15" t="n"/>
      <c r="F6" s="15" t="n"/>
      <c r="G6" s="15" t="n"/>
      <c r="H6" s="16" t="n"/>
    </row>
    <row r="7">
      <c r="A7" s="4" t="inlineStr">
        <is>
          <t>BTC price at month-end (USD)</t>
        </is>
      </c>
      <c r="B7" s="5" t="inlineStr"/>
      <c r="C7" s="15" t="n"/>
      <c r="D7" s="15" t="n"/>
      <c r="E7" s="15" t="n"/>
      <c r="F7" s="15" t="n"/>
      <c r="G7" s="15" t="n"/>
      <c r="H7" s="16" t="n"/>
    </row>
    <row r="8">
      <c r="A8" s="4" t="inlineStr">
        <is>
          <t>Starting BTC</t>
        </is>
      </c>
      <c r="B8" s="5" t="inlineStr"/>
      <c r="C8" s="15" t="n"/>
      <c r="D8" s="15" t="n"/>
      <c r="E8" s="15" t="n"/>
      <c r="F8" s="15" t="n"/>
      <c r="G8" s="15" t="n"/>
      <c r="H8" s="16" t="n"/>
    </row>
    <row r="9">
      <c r="A9" s="4" t="inlineStr">
        <is>
          <t>Starting cash (USD)</t>
        </is>
      </c>
      <c r="B9" s="5" t="inlineStr"/>
      <c r="C9" s="15" t="n"/>
      <c r="D9" s="15" t="n"/>
      <c r="E9" s="15" t="n"/>
      <c r="F9" s="15" t="n"/>
      <c r="G9" s="15" t="n"/>
      <c r="H9" s="16" t="n"/>
    </row>
    <row r="10">
      <c r="A10" s="4" t="inlineStr">
        <is>
          <t>Contributions during month (USD)</t>
        </is>
      </c>
      <c r="B10" s="5" t="inlineStr"/>
      <c r="C10" s="15" t="n"/>
      <c r="D10" s="15" t="n"/>
      <c r="E10" s="15" t="n"/>
      <c r="F10" s="15" t="n"/>
      <c r="G10" s="15" t="n"/>
      <c r="H10" s="16" t="n"/>
    </row>
    <row r="11">
      <c r="A11" s="4" t="inlineStr">
        <is>
          <t>Ending BTC</t>
        </is>
      </c>
      <c r="B11" s="5" t="inlineStr"/>
      <c r="C11" s="15" t="n"/>
      <c r="D11" s="15" t="n"/>
      <c r="E11" s="15" t="n"/>
      <c r="F11" s="15" t="n"/>
      <c r="G11" s="15" t="n"/>
      <c r="H11" s="16" t="n"/>
    </row>
    <row r="12">
      <c r="A12" s="4" t="inlineStr">
        <is>
          <t>Ending cash (USD)</t>
        </is>
      </c>
      <c r="B12" s="5" t="inlineStr"/>
      <c r="C12" s="15" t="n"/>
      <c r="D12" s="15" t="n"/>
      <c r="E12" s="15" t="n"/>
      <c r="F12" s="15" t="n"/>
      <c r="G12" s="15" t="n"/>
      <c r="H12" s="16" t="n"/>
    </row>
    <row r="15">
      <c r="A15" s="13" t="inlineStr">
        <is>
          <t>Key KPIs (calculated)</t>
        </is>
      </c>
      <c r="B15" s="14" t="n"/>
      <c r="C15" s="14" t="n"/>
      <c r="D15" s="14" t="n"/>
    </row>
    <row r="16">
      <c r="A16" s="4" t="inlineStr">
        <is>
          <t>Starting BTC-eq</t>
        </is>
      </c>
      <c r="B16" s="5">
        <f>B8+B9/B7</f>
        <v/>
      </c>
      <c r="C16" s="15" t="n"/>
      <c r="D16" s="15" t="n"/>
      <c r="E16" s="15" t="n"/>
      <c r="F16" s="15" t="n"/>
      <c r="G16" s="15" t="n"/>
      <c r="H16" s="16" t="n"/>
    </row>
    <row r="17">
      <c r="A17" s="4" t="inlineStr">
        <is>
          <t>Ending BTC-eq</t>
        </is>
      </c>
      <c r="B17" s="5">
        <f>B11+B12/B7</f>
        <v/>
      </c>
      <c r="C17" s="15" t="n"/>
      <c r="D17" s="15" t="n"/>
      <c r="E17" s="15" t="n"/>
      <c r="F17" s="15" t="n"/>
      <c r="G17" s="15" t="n"/>
      <c r="H17" s="16" t="n"/>
    </row>
    <row r="18">
      <c r="A18" s="4" t="inlineStr">
        <is>
          <t>Change in BTC-eq</t>
        </is>
      </c>
      <c r="B18" s="5">
        <f>B16-B15</f>
        <v/>
      </c>
      <c r="C18" s="15" t="n"/>
      <c r="D18" s="15" t="n"/>
      <c r="E18" s="15" t="n"/>
      <c r="F18" s="15" t="n"/>
      <c r="G18" s="15" t="n"/>
      <c r="H18" s="16" t="n"/>
    </row>
    <row r="19">
      <c r="A19" s="4" t="inlineStr">
        <is>
          <t>Sats stacked (ending)</t>
        </is>
      </c>
      <c r="B19" s="5">
        <f>B16*100000000</f>
        <v/>
      </c>
      <c r="C19" s="15" t="n"/>
      <c r="D19" s="15" t="n"/>
      <c r="E19" s="15" t="n"/>
      <c r="F19" s="15" t="n"/>
      <c r="G19" s="15" t="n"/>
      <c r="H19" s="16" t="n"/>
    </row>
    <row r="20">
      <c r="A20" s="4" t="inlineStr">
        <is>
          <t>Sats per $1,000 contributed (month)</t>
        </is>
      </c>
      <c r="B20" s="5">
        <f>IF(B10&gt;0,(B17*100000000)/(B10/1000),"")</f>
        <v/>
      </c>
      <c r="C20" s="15" t="n"/>
      <c r="D20" s="15" t="n"/>
      <c r="E20" s="15" t="n"/>
      <c r="F20" s="15" t="n"/>
      <c r="G20" s="15" t="n"/>
      <c r="H20" s="16" t="n"/>
    </row>
    <row r="21">
      <c r="A21" s="4" t="inlineStr">
        <is>
          <t>Effective $ per BTC-eq (ending)</t>
        </is>
      </c>
      <c r="B21" s="5">
        <f>IF(B16&gt;0,(B10+B9+B8*B7)/B16,"")</f>
        <v/>
      </c>
      <c r="C21" s="15" t="n"/>
      <c r="D21" s="15" t="n"/>
      <c r="E21" s="15" t="n"/>
      <c r="F21" s="15" t="n"/>
      <c r="G21" s="15" t="n"/>
      <c r="H21" s="16" t="n"/>
    </row>
    <row r="22">
      <c r="A22" s="4" t="inlineStr">
        <is>
          <t>Benchmark BTC-eq (optional)</t>
        </is>
      </c>
      <c r="B22" s="5" t="inlineStr"/>
      <c r="C22" s="15" t="n"/>
      <c r="D22" s="15" t="n"/>
      <c r="E22" s="15" t="n"/>
      <c r="F22" s="15" t="n"/>
      <c r="G22" s="15" t="n"/>
      <c r="H22" s="16" t="n"/>
    </row>
    <row r="23">
      <c r="A23" s="4" t="inlineStr">
        <is>
          <t>Multiple vs benchmark (optional)</t>
        </is>
      </c>
      <c r="B23" s="5">
        <f>IF(B21&gt;0,B16/B21,"")</f>
        <v/>
      </c>
      <c r="C23" s="15" t="n"/>
      <c r="D23" s="15" t="n"/>
      <c r="E23" s="15" t="n"/>
      <c r="F23" s="15" t="n"/>
      <c r="G23" s="15" t="n"/>
      <c r="H23" s="16" t="n"/>
    </row>
    <row r="25">
      <c r="A25" s="3" t="inlineStr">
        <is>
          <t>Notes</t>
        </is>
      </c>
    </row>
    <row r="26">
      <c r="A26" s="7" t="inlineStr">
        <is>
          <t>• BTC-eq lets you compare modes that hold some cash as a buffer (BTC held + cash ÷ BTC price).</t>
        </is>
      </c>
    </row>
    <row r="27">
      <c r="A27" s="7" t="inlineStr">
        <is>
          <t>• Sats per $1,000 is a simple efficiency KPI: higher = more BTC accumulated for the same budget.</t>
        </is>
      </c>
    </row>
    <row r="28">
      <c r="A28" s="7" t="inlineStr">
        <is>
          <t>• If you use a benchmark (e.g., auto-buy DCA), enter its BTC-eq at month-end in the Benchmark field to compute a multiple.</t>
        </is>
      </c>
    </row>
    <row r="29">
      <c r="A29" s="7" t="inlineStr">
        <is>
          <t>• Keep trade logs and exchange statements with accounting records. Consult your CPA for tax/accounting treatment.</t>
        </is>
      </c>
    </row>
  </sheetData>
  <mergeCells count="25">
    <mergeCell ref="B9:H9"/>
    <mergeCell ref="A15:H15"/>
    <mergeCell ref="B6:H6"/>
    <mergeCell ref="A1:H1"/>
    <mergeCell ref="B5:H5"/>
    <mergeCell ref="B20:H20"/>
    <mergeCell ref="A25:H25"/>
    <mergeCell ref="B16:H16"/>
    <mergeCell ref="B7:H7"/>
    <mergeCell ref="A27:H27"/>
    <mergeCell ref="B22:H22"/>
    <mergeCell ref="A26:H26"/>
    <mergeCell ref="B18:H18"/>
    <mergeCell ref="B21:H21"/>
    <mergeCell ref="A2:H2"/>
    <mergeCell ref="B12:H12"/>
    <mergeCell ref="B11:H11"/>
    <mergeCell ref="B23:H23"/>
    <mergeCell ref="A4:H4"/>
    <mergeCell ref="B8:H8"/>
    <mergeCell ref="B17:H17"/>
    <mergeCell ref="A29:H29"/>
    <mergeCell ref="A28:H28"/>
    <mergeCell ref="B10:H10"/>
    <mergeCell ref="B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6" customWidth="1" min="7" max="7"/>
    <col width="22" customWidth="1" min="8" max="8"/>
  </cols>
  <sheetData>
    <row r="1">
      <c r="A1" s="1" t="inlineStr">
        <is>
          <t>Trade Log (Optional)</t>
        </is>
      </c>
    </row>
    <row r="2">
      <c r="A2" s="8" t="inlineStr">
        <is>
          <t>Date/Time</t>
        </is>
      </c>
      <c r="B2" s="8" t="inlineStr">
        <is>
          <t>Side</t>
        </is>
      </c>
      <c r="C2" s="8" t="inlineStr">
        <is>
          <t>Notional (USD)</t>
        </is>
      </c>
      <c r="D2" s="8" t="inlineStr">
        <is>
          <t>Price</t>
        </is>
      </c>
      <c r="E2" s="8" t="inlineStr">
        <is>
          <t>BTC Qty</t>
        </is>
      </c>
      <c r="F2" s="8" t="inlineStr">
        <is>
          <t>Fee</t>
        </is>
      </c>
      <c r="G2" s="8" t="inlineStr">
        <is>
          <t>Order ID</t>
        </is>
      </c>
      <c r="H2" s="8" t="inlineStr">
        <is>
          <t>Notes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2026-02-15T09:04:02Z</dcterms:created>
  <dcterms:modified xmlns:dcterms="http://purl.org/dc/terms/" xmlns:xsi="http://www.w3.org/2001/XMLSchema-instance" xsi:type="dcterms:W3CDTF">2026-02-16T00:46:50Z</dcterms:modified>
</cp:coreProperties>
</file>