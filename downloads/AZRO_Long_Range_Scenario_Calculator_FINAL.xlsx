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Projection" sheetId="1" state="visible" r:id="rId1"/>
    <sheet xmlns:r="http://schemas.openxmlformats.org/officeDocument/2006/relationships" name="Historical 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0.000000"/>
    <numFmt numFmtId="166" formatCode="0.0"/>
    <numFmt numFmtId="167" formatCode="$#,##0"/>
    <numFmt numFmtId="168" formatCode="0.00x"/>
    <numFmt numFmtId="169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F2937"/>
      <sz val="16"/>
    </font>
    <font>
      <name val="Calibri"/>
      <color rgb="006B7280"/>
      <sz val="9"/>
    </font>
    <font>
      <name val="Calibri"/>
      <b val="1"/>
      <color rgb="000B1220"/>
      <sz val="12"/>
    </font>
    <font>
      <name val="Calibri"/>
      <color rgb="001F2937"/>
      <sz val="11"/>
    </font>
    <font>
      <name val="Calibri"/>
      <b val="1"/>
      <color rgb="001F2937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111827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2" fontId="5" fillId="2" borderId="1" applyAlignment="1" pivotButton="0" quotePrefix="0" xfId="0">
      <alignment vertical="center"/>
    </xf>
    <xf numFmtId="0" fontId="4" fillId="0" borderId="1" pivotButton="0" quotePrefix="0" xfId="0"/>
    <xf numFmtId="2" fontId="5" fillId="0" borderId="1" pivotButton="0" quotePrefix="0" xfId="0"/>
    <xf numFmtId="1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10" fontId="5" fillId="4" borderId="1" applyAlignment="1" pivotButton="0" quotePrefix="0" xfId="0">
      <alignment horizontal="center" vertical="center"/>
    </xf>
    <xf numFmtId="168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center" vertical="center"/>
    </xf>
    <xf numFmtId="168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6" fontId="5" fillId="5" borderId="1" applyAlignment="1" pivotButton="0" quotePrefix="0" xfId="0">
      <alignment horizontal="center" vertical="center"/>
    </xf>
    <xf numFmtId="167" fontId="5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7" fontId="4" fillId="4" borderId="1" applyAlignment="1" pivotButton="0" quotePrefix="0" xfId="0">
      <alignment horizontal="center" vertical="center"/>
    </xf>
    <xf numFmtId="169" fontId="4" fillId="4" borderId="1" applyAlignment="1" pivotButton="0" quotePrefix="0" xfId="0">
      <alignment horizontal="center" vertical="center"/>
    </xf>
    <xf numFmtId="168" fontId="4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7" fontId="4" fillId="5" borderId="1" applyAlignment="1" pivotButton="0" quotePrefix="0" xfId="0">
      <alignment horizontal="center" vertical="center"/>
    </xf>
    <xf numFmtId="169" fontId="4" fillId="5" borderId="1" applyAlignment="1" pivotButton="0" quotePrefix="0" xfId="0">
      <alignment horizontal="center" vertical="center"/>
    </xf>
    <xf numFmtId="168" fontId="4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AZRO</author>
  </authors>
  <commentList>
    <comment ref="B8" authorId="0" shapeId="0">
      <text>
        <t>Reference: Michael Saylor has publicly discussed ~$13M per BTC by 2045 (see e.g., Nasdaq article quoting Saylor on CNBC). This is an illustrative assumption.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AZRO — Long-Range Scenario Calculator (Illustrative)</t>
        </is>
      </c>
    </row>
    <row r="2">
      <c r="A2" s="2" t="inlineStr">
        <is>
          <t>This worksheet is a math tool: budget → sats, plus an illustrative 2045 price path (not a forecast).</t>
        </is>
      </c>
    </row>
    <row r="3"/>
    <row r="4">
      <c r="A4" s="3" t="inlineStr">
        <is>
          <t>Inputs</t>
        </is>
      </c>
    </row>
    <row r="5">
      <c r="A5" s="4" t="inlineStr">
        <is>
          <t>Start date</t>
        </is>
      </c>
      <c r="B5" s="5" t="n">
        <v>46062</v>
      </c>
    </row>
    <row r="6">
      <c r="A6" s="4" t="inlineStr">
        <is>
          <t>End date</t>
        </is>
      </c>
      <c r="B6" s="5" t="n">
        <v>53002</v>
      </c>
    </row>
    <row r="7">
      <c r="A7" s="4" t="inlineStr">
        <is>
          <t>Starting BTC price (USD)</t>
        </is>
      </c>
      <c r="B7" s="6" t="n">
        <v>66668.50999999999</v>
      </c>
    </row>
    <row r="8">
      <c r="A8" s="4" t="inlineStr">
        <is>
          <t>reference BTC price at end (USD)</t>
        </is>
      </c>
      <c r="B8" s="6" t="n">
        <v>13000000</v>
      </c>
    </row>
    <row r="9">
      <c r="A9" s="4" t="inlineStr">
        <is>
          <t>Weekly budget (USD)</t>
        </is>
      </c>
      <c r="B9" s="6" t="n">
        <v>250</v>
      </c>
    </row>
    <row r="10">
      <c r="A10" s="4" t="inlineStr">
        <is>
          <t>Starting cash (USD)</t>
        </is>
      </c>
      <c r="B10" s="6" t="n">
        <v>1000</v>
      </c>
    </row>
    <row r="11">
      <c r="A11" s="4" t="inlineStr">
        <is>
          <t>Trading fee (as % of notional)</t>
        </is>
      </c>
      <c r="B11" s="6" t="n">
        <v>0.1</v>
      </c>
    </row>
    <row r="12">
      <c r="A12" s="4" t="inlineStr">
        <is>
          <t>Annual BTC accretion vs Auto-buy (Accumulate-only)</t>
        </is>
      </c>
      <c r="B12" s="6" t="n">
        <v>1.397061506584163</v>
      </c>
    </row>
    <row r="13">
      <c r="A13" s="4" t="inlineStr">
        <is>
          <t>Annual BTC accretion vs Auto-buy (Signals)</t>
        </is>
      </c>
      <c r="B13" s="6" t="n">
        <v>2.882615051162518</v>
      </c>
    </row>
    <row r="14">
      <c r="A14" s="4" t="inlineStr">
        <is>
          <t>Annual BTC accretion vs Auto-buy (Smooth)</t>
        </is>
      </c>
      <c r="B14" s="6" t="n">
        <v>4.245774352599918</v>
      </c>
    </row>
    <row r="15"/>
    <row r="16">
      <c r="A16" s="3" t="inlineStr">
        <is>
          <t>Derived (auto-calculated)</t>
        </is>
      </c>
    </row>
    <row r="17">
      <c r="A17" s="7" t="inlineStr">
        <is>
          <t>Years</t>
        </is>
      </c>
      <c r="B17" s="8">
        <f>((B6-B5)/365.25)</f>
        <v/>
      </c>
    </row>
    <row r="18">
      <c r="A18" s="7" t="inlineStr">
        <is>
          <t>Annual CAGR (implied)</t>
        </is>
      </c>
      <c r="B18" s="8">
        <f>(B8/B7)^(1/B17)-1</f>
        <v/>
      </c>
    </row>
    <row r="19">
      <c r="A19" s="7" t="inlineStr">
        <is>
          <t>Weekly growth rate</t>
        </is>
      </c>
      <c r="B19" s="8">
        <f>(1+B18)^(1/52)-1</f>
        <v/>
      </c>
    </row>
    <row r="20">
      <c r="A20" s="7" t="inlineStr">
        <is>
          <t>Weeks (approx)</t>
        </is>
      </c>
      <c r="B20" s="9">
        <f>ROUNDUP(B17*52,0)</f>
        <v/>
      </c>
    </row>
    <row r="21"/>
    <row r="22">
      <c r="A22" s="3" t="inlineStr">
        <is>
          <t>Auto-buy BTC (all-in) — estimated</t>
        </is>
      </c>
    </row>
    <row r="23">
      <c r="A23" s="7" t="inlineStr">
        <is>
          <t>BTC from starting cash</t>
        </is>
      </c>
      <c r="B23" s="10">
        <f>(B10*(1-B11/100))/B7</f>
        <v/>
      </c>
    </row>
    <row r="24">
      <c r="A24" s="7" t="inlineStr">
        <is>
          <t>BTC from weekly deposits</t>
        </is>
      </c>
      <c r="B24" s="10">
        <f>(B9*(1-B11/100))/B7 * (1-(1/(1+B19))^B20)/(1-1/(1+B19))</f>
        <v/>
      </c>
    </row>
    <row r="25">
      <c r="A25" s="7" t="inlineStr">
        <is>
          <t>Total Auto-buy BTC</t>
        </is>
      </c>
      <c r="B25" s="10">
        <f>B23+B24</f>
        <v/>
      </c>
    </row>
    <row r="26">
      <c r="A26" s="7" t="inlineStr">
        <is>
          <t>Total Auto-buy sats (millions)</t>
        </is>
      </c>
      <c r="B26" s="11">
        <f>B25*100</f>
        <v/>
      </c>
    </row>
    <row r="27">
      <c r="A27" s="7" t="inlineStr">
        <is>
          <t>Implied value at end price (USD)</t>
        </is>
      </c>
      <c r="B27" s="12">
        <f>B25*B8</f>
        <v/>
      </c>
    </row>
    <row r="28"/>
    <row r="29">
      <c r="A29" s="3" t="inlineStr">
        <is>
          <t>AZRO projected BTC (apply annual BTC accretion vs Auto-buy)</t>
        </is>
      </c>
    </row>
    <row r="30" ht="18" customHeight="1">
      <c r="A30" s="13" t="inlineStr">
        <is>
          <t>Mode</t>
        </is>
      </c>
      <c r="B30" s="13" t="inlineStr">
        <is>
          <t>Annual accretion</t>
        </is>
      </c>
      <c r="C30" s="13" t="inlineStr">
        <is>
          <t>Multiplier over horizon</t>
        </is>
      </c>
      <c r="D30" s="13" t="inlineStr">
        <is>
          <t>Projected BTC</t>
        </is>
      </c>
      <c r="E30" s="13" t="inlineStr">
        <is>
          <t>Projected sats (M)</t>
        </is>
      </c>
      <c r="F30" s="13" t="inlineStr">
        <is>
          <t>Implied value (USD)</t>
        </is>
      </c>
    </row>
    <row r="31">
      <c r="A31" s="14" t="inlineStr">
        <is>
          <t>Accumulate-only</t>
        </is>
      </c>
      <c r="B31" s="15">
        <f>B12/100</f>
        <v/>
      </c>
      <c r="C31" s="16">
        <f>(1+B31)^B17</f>
        <v/>
      </c>
      <c r="D31" s="17">
        <f>B25*C31</f>
        <v/>
      </c>
      <c r="E31" s="18">
        <f>D31*100</f>
        <v/>
      </c>
      <c r="F31" s="19">
        <f>D31*B8</f>
        <v/>
      </c>
    </row>
    <row r="32">
      <c r="A32" s="20" t="inlineStr">
        <is>
          <t>Signals</t>
        </is>
      </c>
      <c r="B32" s="21">
        <f>B13/100</f>
        <v/>
      </c>
      <c r="C32" s="22">
        <f>(1+B32)^B17</f>
        <v/>
      </c>
      <c r="D32" s="23">
        <f>B25*C32</f>
        <v/>
      </c>
      <c r="E32" s="24">
        <f>D32*100</f>
        <v/>
      </c>
      <c r="F32" s="25">
        <f>D32*B8</f>
        <v/>
      </c>
    </row>
    <row r="33">
      <c r="A33" s="14" t="inlineStr">
        <is>
          <t>Smooth</t>
        </is>
      </c>
      <c r="B33" s="15">
        <f>B14/100</f>
        <v/>
      </c>
      <c r="C33" s="16">
        <f>(1+B33)^B17</f>
        <v/>
      </c>
      <c r="D33" s="17">
        <f>B25*C33</f>
        <v/>
      </c>
      <c r="E33" s="18">
        <f>D33*100</f>
        <v/>
      </c>
      <c r="F33" s="19">
        <f>D33*B8</f>
        <v/>
      </c>
    </row>
    <row r="34"/>
    <row r="35">
      <c r="A35" s="2" t="inlineStr">
        <is>
          <t>Note: This workbook uses simplified math (constant CAGR) and applies historical BTC-accretion rates as an illustration. It is not a forecast.</t>
        </is>
      </c>
    </row>
  </sheetData>
  <mergeCells count="7">
    <mergeCell ref="A1:G1"/>
    <mergeCell ref="A22:G22"/>
    <mergeCell ref="A35:G35"/>
    <mergeCell ref="A4:G4"/>
    <mergeCell ref="A16:G16"/>
    <mergeCell ref="A2:G2"/>
    <mergeCell ref="A29:G2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Historical examples (BTC-equivalent)</t>
        </is>
      </c>
    </row>
    <row r="2">
      <c r="A2" s="2" t="inlineStr">
        <is>
          <t>Weekly budget: $50/week | Starting cash: $1,000 | Fees: 0.10% | Tax on trims: 21% (illustrative)</t>
        </is>
      </c>
    </row>
    <row r="3"/>
    <row r="4" ht="18" customHeight="1">
      <c r="A4" s="13" t="inlineStr">
        <is>
          <t>Start date</t>
        </is>
      </c>
      <c r="B4" s="13" t="inlineStr">
        <is>
          <t>Total contributed</t>
        </is>
      </c>
      <c r="C4" s="13" t="inlineStr">
        <is>
          <t>Auto-buy BTC-eq</t>
        </is>
      </c>
      <c r="D4" s="13" t="inlineStr">
        <is>
          <t>Accumulate BTC-eq</t>
        </is>
      </c>
      <c r="E4" s="13" t="inlineStr">
        <is>
          <t>Signals BTC-eq</t>
        </is>
      </c>
      <c r="F4" s="13" t="inlineStr">
        <is>
          <t>Smooth BTC-eq</t>
        </is>
      </c>
      <c r="G4" s="13" t="inlineStr">
        <is>
          <t>Smooth mult</t>
        </is>
      </c>
      <c r="H4" s="13" t="inlineStr">
        <is>
          <t>Smooth extra (M sats)</t>
        </is>
      </c>
    </row>
    <row r="5">
      <c r="A5" s="26" t="n">
        <v>42736</v>
      </c>
      <c r="B5" s="27" t="n">
        <v>24800</v>
      </c>
      <c r="C5" s="28" t="n">
        <v>3.756671656854441</v>
      </c>
      <c r="D5" s="28" t="n">
        <v>4.265387990159949</v>
      </c>
      <c r="E5" s="28" t="n">
        <v>4.87281538214616</v>
      </c>
      <c r="F5" s="28" t="n">
        <v>5.496770439437174</v>
      </c>
      <c r="G5" s="29" t="n">
        <v>1.463202254955591</v>
      </c>
      <c r="H5" s="30" t="n">
        <v>174.0098782582733</v>
      </c>
    </row>
    <row r="6">
      <c r="A6" s="31" t="n">
        <v>43831</v>
      </c>
      <c r="B6" s="32" t="n">
        <v>16950</v>
      </c>
      <c r="C6" s="33" t="n">
        <v>0.7072775234766081</v>
      </c>
      <c r="D6" s="33" t="n">
        <v>0.866000301578327</v>
      </c>
      <c r="E6" s="33" t="n">
        <v>1.057666702017111</v>
      </c>
      <c r="F6" s="33" t="n">
        <v>1.103732425515596</v>
      </c>
      <c r="G6" s="34" t="n">
        <v>1.560536548779639</v>
      </c>
      <c r="H6" s="35" t="n">
        <v>39.64549020389882</v>
      </c>
    </row>
    <row r="7">
      <c r="A7" s="26" t="n">
        <v>44562</v>
      </c>
      <c r="B7" s="27" t="n">
        <v>11750</v>
      </c>
      <c r="C7" s="28" t="n">
        <v>0.2936206648389171</v>
      </c>
      <c r="D7" s="28" t="n">
        <v>0.3587281838628369</v>
      </c>
      <c r="E7" s="28" t="n">
        <v>0.3642062882728345</v>
      </c>
      <c r="F7" s="28" t="n">
        <v>0.3642062882728345</v>
      </c>
      <c r="G7" s="29" t="n">
        <v>1.240397328548525</v>
      </c>
      <c r="H7" s="30" t="n">
        <v>7.058562343391738</v>
      </c>
    </row>
    <row r="8">
      <c r="A8" s="31" t="n">
        <v>44927</v>
      </c>
      <c r="B8" s="32" t="n">
        <v>9150</v>
      </c>
      <c r="C8" s="33" t="n">
        <v>0.2223493916159398</v>
      </c>
      <c r="D8" s="33" t="n">
        <v>0.2262147047234298</v>
      </c>
      <c r="E8" s="33" t="n">
        <v>0.235452123553636</v>
      </c>
      <c r="F8" s="33" t="n">
        <v>0.235452123553636</v>
      </c>
      <c r="G8" s="34" t="n">
        <v>1.058928571121653</v>
      </c>
      <c r="H8" s="35" t="n">
        <v>1.310273193769618</v>
      </c>
    </row>
    <row r="9">
      <c r="A9" s="26" t="n">
        <v>45292</v>
      </c>
      <c r="B9" s="27" t="n">
        <v>6550</v>
      </c>
      <c r="C9" s="28" t="n">
        <v>0.09411129549045021</v>
      </c>
      <c r="D9" s="28" t="n">
        <v>0.09786083692498716</v>
      </c>
      <c r="E9" s="28" t="n">
        <v>0.1039763720627056</v>
      </c>
      <c r="F9" s="28" t="n">
        <v>0.1039763720627056</v>
      </c>
      <c r="G9" s="29" t="n">
        <v>1.104823512638357</v>
      </c>
      <c r="H9" s="30" t="n">
        <v>0.9865076572255382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2026-02-16T03:17:35Z</dcterms:created>
  <dcterms:modified xmlns:dcterms="http://purl.org/dc/terms/" xmlns:xsi="http://www.w3.org/2001/XMLSchema-instance" xsi:type="dcterms:W3CDTF">2026-02-17T06:28:41Z</dcterms:modified>
</cp:coreProperties>
</file>